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eks\OneDrive\Desktop\Іспит 2026\"/>
    </mc:Choice>
  </mc:AlternateContent>
  <xr:revisionPtr revIDLastSave="0" documentId="13_ncr:1_{F739C01B-14E3-458F-AE05-7FF0473B768B}" xr6:coauthVersionLast="47" xr6:coauthVersionMax="47" xr10:uidLastSave="{00000000-0000-0000-0000-000000000000}"/>
  <bookViews>
    <workbookView xWindow="-108" yWindow="-108" windowWidth="23256" windowHeight="12456" activeTab="2" xr2:uid="{5CD171F5-B716-4C5C-8D25-654F133F705C}"/>
  </bookViews>
  <sheets>
    <sheet name="Витрати" sheetId="1" r:id="rId1"/>
    <sheet name="Доходи" sheetId="3" r:id="rId2"/>
    <sheet name="Прибуток" sheetId="2" r:id="rId3"/>
    <sheet name="Точка беззбитковості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2" l="1"/>
  <c r="F5" i="2"/>
  <c r="D5" i="2"/>
  <c r="B5" i="2"/>
</calcChain>
</file>

<file path=xl/sharedStrings.xml><?xml version="1.0" encoding="utf-8"?>
<sst xmlns="http://schemas.openxmlformats.org/spreadsheetml/2006/main" count="57" uniqueCount="47">
  <si>
    <t>Категорія</t>
  </si>
  <si>
    <t>Стаття витрат</t>
  </si>
  <si>
    <t>Кількість</t>
  </si>
  <si>
    <t>Ціна за одиницю (грн)</t>
  </si>
  <si>
    <t>Обладнання</t>
  </si>
  <si>
    <t>Форми для свічок</t>
  </si>
  <si>
    <t>Камера для контролю якості</t>
  </si>
  <si>
    <t>Матеріали</t>
  </si>
  <si>
    <t>Ароматичні олії</t>
  </si>
  <si>
    <t>Загальна сума (грн)</t>
  </si>
  <si>
    <t>Плавильна ємність для воску</t>
  </si>
  <si>
    <t>Електроплитка</t>
  </si>
  <si>
    <t>Соєвий віск</t>
  </si>
  <si>
    <t>20 кг</t>
  </si>
  <si>
    <t>Гніт для свічок</t>
  </si>
  <si>
    <t>Барвники</t>
  </si>
  <si>
    <t>Упаковка</t>
  </si>
  <si>
    <t>Баночки / стакани</t>
  </si>
  <si>
    <t>Етикетки</t>
  </si>
  <si>
    <t>Реклама</t>
  </si>
  <si>
    <t>Реклама в Instagram</t>
  </si>
  <si>
    <t>Онлайн-оголошення</t>
  </si>
  <si>
    <t>Вид продукції</t>
  </si>
  <si>
    <t>Кількість продажів (шт/міс)</t>
  </si>
  <si>
    <t>Дохід (грн)</t>
  </si>
  <si>
    <t>Собівартість 1 шт (грн)</t>
  </si>
  <si>
    <t>Загальні витрати (грн)</t>
  </si>
  <si>
    <t>Прибуток (грн)</t>
  </si>
  <si>
    <t>Класичні ароматичні свічки</t>
  </si>
  <si>
    <t>Декоративні свічки</t>
  </si>
  <si>
    <t>Подарункові набори</t>
  </si>
  <si>
    <t>Разом</t>
  </si>
  <si>
    <t>—</t>
  </si>
  <si>
    <t>№</t>
  </si>
  <si>
    <t>Послуга / продукт</t>
  </si>
  <si>
    <t>Кількість продажів на місяць</t>
  </si>
  <si>
    <t>Ціна за 1 послугу (грн)</t>
  </si>
  <si>
    <t>Дохід за місяць (грн)</t>
  </si>
  <si>
    <t>Створення сайту-візитки</t>
  </si>
  <si>
    <t>Дизайн сайту (UI/UX)</t>
  </si>
  <si>
    <t>SEO-оптимізація сайту</t>
  </si>
  <si>
    <t>Інтеграція Google форм</t>
  </si>
  <si>
    <t>Налаштування ШІ та машинного зору</t>
  </si>
  <si>
    <t>Технічна підтримка сайтів</t>
  </si>
  <si>
    <t>Кількість свічок</t>
  </si>
  <si>
    <t>Доходи</t>
  </si>
  <si>
    <t>Витрати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</si>
</sst>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1">
    <cellStyle name="Обычный" xfId="0" builtinId="0"/>
  </cellStyles>
  <dxfs count="40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04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aseline="0"/>
              <a:t>Витрати</a:t>
            </a:r>
          </a:p>
        </c:rich>
      </c:tx>
      <c:layout>
        <c:manualLayout>
          <c:xMode val="edge"/>
          <c:yMode val="edge"/>
          <c:x val="0.46668626211237701"/>
          <c:y val="1.13902843565057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2"/>
          <c:order val="0"/>
          <c:tx>
            <c:strRef>
              <c:f>Витрати!$E$1</c:f>
              <c:strCache>
                <c:ptCount val="1"/>
                <c:pt idx="0">
                  <c:v>Загальна сума (грн)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9BA-4C0F-8357-410508870AD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AFA-4392-BED6-041F470CAC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AFA-4392-BED6-041F470CAC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AFA-4392-BED6-041F470CAC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AFA-4392-BED6-041F470CAC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AFA-4392-BED6-041F470CAC89}"/>
              </c:ext>
            </c:extLst>
          </c:dPt>
          <c:dPt>
            <c:idx val="6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19BA-4C0F-8357-410508870AD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AFA-4392-BED6-041F470CAC89}"/>
              </c:ext>
            </c:extLst>
          </c:dPt>
          <c:dPt>
            <c:idx val="8"/>
            <c:bubble3D val="0"/>
            <c:spPr>
              <a:solidFill>
                <a:schemeClr val="bg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9BA-4C0F-8357-410508870ADB}"/>
              </c:ext>
            </c:extLst>
          </c:dPt>
          <c:dPt>
            <c:idx val="9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9BA-4C0F-8357-410508870ADB}"/>
              </c:ext>
            </c:extLst>
          </c:dPt>
          <c:dPt>
            <c:idx val="10"/>
            <c:bubble3D val="0"/>
            <c:spPr>
              <a:solidFill>
                <a:schemeClr val="tx2">
                  <a:lumMod val="25000"/>
                  <a:lumOff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19BA-4C0F-8357-410508870AD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19BA-4C0F-8357-410508870AD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Витрати!$A$2:$B$13</c:f>
              <c:multiLvlStrCache>
                <c:ptCount val="12"/>
                <c:lvl>
                  <c:pt idx="0">
                    <c:v>Форми для свічок</c:v>
                  </c:pt>
                  <c:pt idx="1">
                    <c:v>Плавильна ємність для воску</c:v>
                  </c:pt>
                  <c:pt idx="2">
                    <c:v>Електроплитка</c:v>
                  </c:pt>
                  <c:pt idx="3">
                    <c:v>Камера для контролю якості</c:v>
                  </c:pt>
                  <c:pt idx="4">
                    <c:v>Соєвий віск</c:v>
                  </c:pt>
                  <c:pt idx="5">
                    <c:v>Ароматичні олії</c:v>
                  </c:pt>
                  <c:pt idx="6">
                    <c:v>Гніт для свічок</c:v>
                  </c:pt>
                  <c:pt idx="7">
                    <c:v>Барвники</c:v>
                  </c:pt>
                  <c:pt idx="8">
                    <c:v>Баночки / стакани</c:v>
                  </c:pt>
                  <c:pt idx="9">
                    <c:v>Етикетки</c:v>
                  </c:pt>
                  <c:pt idx="10">
                    <c:v>Реклама в Instagram</c:v>
                  </c:pt>
                  <c:pt idx="11">
                    <c:v>Онлайн-оголошення</c:v>
                  </c:pt>
                </c:lvl>
                <c:lvl>
                  <c:pt idx="0">
                    <c:v>Обладнання</c:v>
                  </c:pt>
                  <c:pt idx="1">
                    <c:v>Обладнання</c:v>
                  </c:pt>
                  <c:pt idx="2">
                    <c:v>Обладнання</c:v>
                  </c:pt>
                  <c:pt idx="3">
                    <c:v>Обладнання</c:v>
                  </c:pt>
                  <c:pt idx="4">
                    <c:v>Матеріали</c:v>
                  </c:pt>
                  <c:pt idx="5">
                    <c:v>Матеріали</c:v>
                  </c:pt>
                  <c:pt idx="6">
                    <c:v>Матеріали</c:v>
                  </c:pt>
                  <c:pt idx="7">
                    <c:v>Матеріали</c:v>
                  </c:pt>
                  <c:pt idx="8">
                    <c:v>Упаковка</c:v>
                  </c:pt>
                  <c:pt idx="9">
                    <c:v>Упаковка</c:v>
                  </c:pt>
                  <c:pt idx="10">
                    <c:v>Реклама</c:v>
                  </c:pt>
                  <c:pt idx="11">
                    <c:v>Реклама</c:v>
                  </c:pt>
                </c:lvl>
              </c:multiLvlStrCache>
            </c:multiLvlStrRef>
          </c:cat>
          <c:val>
            <c:numRef>
              <c:f>Витрати!$E$2:$E$13</c:f>
              <c:numCache>
                <c:formatCode>General</c:formatCode>
                <c:ptCount val="12"/>
                <c:pt idx="0">
                  <c:v>2000</c:v>
                </c:pt>
                <c:pt idx="1">
                  <c:v>1500</c:v>
                </c:pt>
                <c:pt idx="2">
                  <c:v>1200</c:v>
                </c:pt>
                <c:pt idx="3">
                  <c:v>3000</c:v>
                </c:pt>
                <c:pt idx="4">
                  <c:v>3000</c:v>
                </c:pt>
                <c:pt idx="5">
                  <c:v>1200</c:v>
                </c:pt>
                <c:pt idx="6">
                  <c:v>500</c:v>
                </c:pt>
                <c:pt idx="7">
                  <c:v>400</c:v>
                </c:pt>
                <c:pt idx="8">
                  <c:v>2250</c:v>
                </c:pt>
                <c:pt idx="9">
                  <c:v>450</c:v>
                </c:pt>
                <c:pt idx="10">
                  <c:v>1000</c:v>
                </c:pt>
                <c:pt idx="11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BA-4C0F-8357-410508870AD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899833602779629"/>
          <c:y val="0.81965293414920859"/>
          <c:w val="0.68803041053386105"/>
          <c:h val="0.16895678149428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Доходи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Доходи!$C$1</c:f>
              <c:strCache>
                <c:ptCount val="1"/>
                <c:pt idx="0">
                  <c:v>Кількість продажів на місяць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Доходи!$B$2:$B$7</c:f>
              <c:strCache>
                <c:ptCount val="6"/>
                <c:pt idx="0">
                  <c:v>Створення сайту-візитки</c:v>
                </c:pt>
                <c:pt idx="1">
                  <c:v>Дизайн сайту (UI/UX)</c:v>
                </c:pt>
                <c:pt idx="2">
                  <c:v>SEO-оптимізація сайту</c:v>
                </c:pt>
                <c:pt idx="3">
                  <c:v>Інтеграція Google форм</c:v>
                </c:pt>
                <c:pt idx="4">
                  <c:v>Налаштування ШІ та машинного зору</c:v>
                </c:pt>
                <c:pt idx="5">
                  <c:v>Технічна підтримка сайтів</c:v>
                </c:pt>
              </c:strCache>
            </c:strRef>
          </c:cat>
          <c:val>
            <c:numRef>
              <c:f>Доходи!$C$2:$C$7</c:f>
              <c:numCache>
                <c:formatCode>General</c:formatCode>
                <c:ptCount val="6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2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3-431F-ABBB-EC5A3410C948}"/>
            </c:ext>
          </c:extLst>
        </c:ser>
        <c:ser>
          <c:idx val="1"/>
          <c:order val="1"/>
          <c:tx>
            <c:strRef>
              <c:f>Доходи!$D$1</c:f>
              <c:strCache>
                <c:ptCount val="1"/>
                <c:pt idx="0">
                  <c:v>Ціна за 1 послугу (грн)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Доходи!$B$2:$B$7</c:f>
              <c:strCache>
                <c:ptCount val="6"/>
                <c:pt idx="0">
                  <c:v>Створення сайту-візитки</c:v>
                </c:pt>
                <c:pt idx="1">
                  <c:v>Дизайн сайту (UI/UX)</c:v>
                </c:pt>
                <c:pt idx="2">
                  <c:v>SEO-оптимізація сайту</c:v>
                </c:pt>
                <c:pt idx="3">
                  <c:v>Інтеграція Google форм</c:v>
                </c:pt>
                <c:pt idx="4">
                  <c:v>Налаштування ШІ та машинного зору</c:v>
                </c:pt>
                <c:pt idx="5">
                  <c:v>Технічна підтримка сайтів</c:v>
                </c:pt>
              </c:strCache>
            </c:strRef>
          </c:cat>
          <c:val>
            <c:numRef>
              <c:f>Доходи!$D$2:$D$7</c:f>
              <c:numCache>
                <c:formatCode>General</c:formatCode>
                <c:ptCount val="6"/>
                <c:pt idx="0">
                  <c:v>8000</c:v>
                </c:pt>
                <c:pt idx="1">
                  <c:v>5000</c:v>
                </c:pt>
                <c:pt idx="2">
                  <c:v>3000</c:v>
                </c:pt>
                <c:pt idx="3">
                  <c:v>1200</c:v>
                </c:pt>
                <c:pt idx="4">
                  <c:v>10000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13-431F-ABBB-EC5A3410C948}"/>
            </c:ext>
          </c:extLst>
        </c:ser>
        <c:ser>
          <c:idx val="2"/>
          <c:order val="2"/>
          <c:tx>
            <c:strRef>
              <c:f>Доходи!$E$1</c:f>
              <c:strCache>
                <c:ptCount val="1"/>
                <c:pt idx="0">
                  <c:v>Дохід за місяць (грн)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Доходи!$B$2:$B$7</c:f>
              <c:strCache>
                <c:ptCount val="6"/>
                <c:pt idx="0">
                  <c:v>Створення сайту-візитки</c:v>
                </c:pt>
                <c:pt idx="1">
                  <c:v>Дизайн сайту (UI/UX)</c:v>
                </c:pt>
                <c:pt idx="2">
                  <c:v>SEO-оптимізація сайту</c:v>
                </c:pt>
                <c:pt idx="3">
                  <c:v>Інтеграція Google форм</c:v>
                </c:pt>
                <c:pt idx="4">
                  <c:v>Налаштування ШІ та машинного зору</c:v>
                </c:pt>
                <c:pt idx="5">
                  <c:v>Технічна підтримка сайтів</c:v>
                </c:pt>
              </c:strCache>
            </c:strRef>
          </c:cat>
          <c:val>
            <c:numRef>
              <c:f>Доходи!$E$2:$E$7</c:f>
              <c:numCache>
                <c:formatCode>General</c:formatCode>
                <c:ptCount val="6"/>
                <c:pt idx="0">
                  <c:v>32000</c:v>
                </c:pt>
                <c:pt idx="1">
                  <c:v>15000</c:v>
                </c:pt>
                <c:pt idx="2">
                  <c:v>15000</c:v>
                </c:pt>
                <c:pt idx="3">
                  <c:v>7200</c:v>
                </c:pt>
                <c:pt idx="4">
                  <c:v>20000</c:v>
                </c:pt>
                <c:pt idx="5">
                  <c:v>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13-431F-ABBB-EC5A3410C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42101743"/>
        <c:axId val="642099343"/>
      </c:barChart>
      <c:catAx>
        <c:axId val="64210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2099343"/>
        <c:crosses val="autoZero"/>
        <c:auto val="1"/>
        <c:lblAlgn val="ctr"/>
        <c:lblOffset val="100"/>
        <c:noMultiLvlLbl val="0"/>
      </c:catAx>
      <c:valAx>
        <c:axId val="64209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2101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Прибуток</a:t>
            </a:r>
          </a:p>
        </c:rich>
      </c:tx>
      <c:layout>
        <c:manualLayout>
          <c:xMode val="edge"/>
          <c:yMode val="edge"/>
          <c:x val="0.36979855643044618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Прибуток!$A$2</c:f>
              <c:strCache>
                <c:ptCount val="1"/>
                <c:pt idx="0">
                  <c:v>Класичні ароматичні свічки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Прибуток!$B$1:$G$1</c15:sqref>
                  </c15:fullRef>
                </c:ext>
              </c:extLst>
              <c:f>Прибуток!$G$1</c:f>
              <c:strCache>
                <c:ptCount val="1"/>
                <c:pt idx="0">
                  <c:v>Прибуток (грн)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Прибуток!$B$2:$G$2</c15:sqref>
                  </c15:fullRef>
                </c:ext>
              </c:extLst>
              <c:f>Прибуток!$G$2</c:f>
              <c:numCache>
                <c:formatCode>General</c:formatCode>
                <c:ptCount val="1"/>
                <c:pt idx="0">
                  <c:v>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C-4AE3-AA99-ECD479C0ABD0}"/>
            </c:ext>
          </c:extLst>
        </c:ser>
        <c:ser>
          <c:idx val="1"/>
          <c:order val="1"/>
          <c:tx>
            <c:strRef>
              <c:f>Прибуток!$A$3</c:f>
              <c:strCache>
                <c:ptCount val="1"/>
                <c:pt idx="0">
                  <c:v>Декоративні свічки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Прибуток!$B$1:$G$1</c15:sqref>
                  </c15:fullRef>
                </c:ext>
              </c:extLst>
              <c:f>Прибуток!$G$1</c:f>
              <c:strCache>
                <c:ptCount val="1"/>
                <c:pt idx="0">
                  <c:v>Прибуток (грн)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Прибуток!$B$3:$G$3</c15:sqref>
                  </c15:fullRef>
                </c:ext>
              </c:extLst>
              <c:f>Прибуток!$G$3</c:f>
              <c:numCache>
                <c:formatCode>General</c:formatCode>
                <c:ptCount val="1"/>
                <c:pt idx="0">
                  <c:v>5600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4C-4AE3-AA99-ECD479C0ABD0}"/>
            </c:ext>
          </c:extLst>
        </c:ser>
        <c:ser>
          <c:idx val="2"/>
          <c:order val="2"/>
          <c:tx>
            <c:strRef>
              <c:f>Прибуток!$A$4</c:f>
              <c:strCache>
                <c:ptCount val="1"/>
                <c:pt idx="0">
                  <c:v>Подарункові набори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Прибуток!$B$1:$G$1</c15:sqref>
                  </c15:fullRef>
                </c:ext>
              </c:extLst>
              <c:f>Прибуток!$G$1</c:f>
              <c:strCache>
                <c:ptCount val="1"/>
                <c:pt idx="0">
                  <c:v>Прибуток (грн)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Прибуток!$B$4:$G$4</c15:sqref>
                  </c15:fullRef>
                </c:ext>
              </c:extLst>
              <c:f>Прибуток!$G$4</c:f>
              <c:numCache>
                <c:formatCode>General</c:formatCode>
                <c:ptCount val="1"/>
                <c:pt idx="0">
                  <c:v>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4C-4AE3-AA99-ECD479C0AB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6987487"/>
        <c:axId val="636987967"/>
      </c:barChart>
      <c:catAx>
        <c:axId val="63698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6987967"/>
        <c:crosses val="autoZero"/>
        <c:auto val="1"/>
        <c:lblAlgn val="ctr"/>
        <c:lblOffset val="100"/>
        <c:noMultiLvlLbl val="0"/>
      </c:catAx>
      <c:valAx>
        <c:axId val="636987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698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Точка беззбитковості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1558092738407699"/>
          <c:y val="0.19949074074074077"/>
          <c:w val="0.86497462817147852"/>
          <c:h val="0.6153546952464275"/>
        </c:manualLayout>
      </c:layout>
      <c:lineChart>
        <c:grouping val="standard"/>
        <c:varyColors val="0"/>
        <c:ser>
          <c:idx val="0"/>
          <c:order val="0"/>
          <c:tx>
            <c:strRef>
              <c:f>'Точка беззбитковості'!$A$1</c:f>
              <c:strCache>
                <c:ptCount val="1"/>
                <c:pt idx="0">
                  <c:v>Кількість свічок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'Точка беззбитковості'!$A$2:$A$8</c:f>
              <c:numCache>
                <c:formatCode>General</c:formatCode>
                <c:ptCount val="7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CB-4B2F-A871-4A7A24309ED6}"/>
            </c:ext>
          </c:extLst>
        </c:ser>
        <c:ser>
          <c:idx val="1"/>
          <c:order val="1"/>
          <c:tx>
            <c:strRef>
              <c:f>'Точка беззбитковості'!$B$1</c:f>
              <c:strCache>
                <c:ptCount val="1"/>
                <c:pt idx="0">
                  <c:v>Доходи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'Точка беззбитковості'!$B$2:$B$8</c:f>
              <c:numCache>
                <c:formatCode>General</c:formatCode>
                <c:ptCount val="7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17500</c:v>
                </c:pt>
                <c:pt idx="5">
                  <c:v>20000</c:v>
                </c:pt>
                <c:pt idx="6">
                  <c:v>25000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CB-4B2F-A871-4A7A24309ED6}"/>
            </c:ext>
          </c:extLst>
        </c:ser>
        <c:ser>
          <c:idx val="2"/>
          <c:order val="2"/>
          <c:tx>
            <c:strRef>
              <c:f>'Точка беззбитковості'!$C$1</c:f>
              <c:strCache>
                <c:ptCount val="1"/>
                <c:pt idx="0">
                  <c:v>Витрати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'Точка беззбитковості'!$C$2:$C$8</c:f>
              <c:numCache>
                <c:formatCode>General</c:formatCode>
                <c:ptCount val="7"/>
                <c:pt idx="0">
                  <c:v>9000</c:v>
                </c:pt>
                <c:pt idx="1">
                  <c:v>11400</c:v>
                </c:pt>
                <c:pt idx="2">
                  <c:v>13800</c:v>
                </c:pt>
                <c:pt idx="3">
                  <c:v>16200</c:v>
                </c:pt>
                <c:pt idx="4">
                  <c:v>17400</c:v>
                </c:pt>
                <c:pt idx="5">
                  <c:v>18600</c:v>
                </c:pt>
                <c:pt idx="6">
                  <c:v>21000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BCB-4B2F-A871-4A7A24309E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3623599"/>
        <c:axId val="633625519"/>
      </c:lineChart>
      <c:catAx>
        <c:axId val="63362359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3625519"/>
        <c:crosses val="autoZero"/>
        <c:auto val="1"/>
        <c:lblAlgn val="ctr"/>
        <c:lblOffset val="100"/>
        <c:noMultiLvlLbl val="0"/>
      </c:catAx>
      <c:valAx>
        <c:axId val="633625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33623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78439</xdr:colOff>
      <xdr:row>0</xdr:row>
      <xdr:rowOff>0</xdr:rowOff>
    </xdr:from>
    <xdr:to>
      <xdr:col>20</xdr:col>
      <xdr:colOff>347383</xdr:colOff>
      <xdr:row>29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6794270-7361-F5FC-9B2A-A80A7A46DD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350520</xdr:colOff>
      <xdr:row>0</xdr:row>
      <xdr:rowOff>316230</xdr:rowOff>
    </xdr:from>
    <xdr:to>
      <xdr:col>15</xdr:col>
      <xdr:colOff>236220</xdr:colOff>
      <xdr:row>5</xdr:row>
      <xdr:rowOff>769620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DDF894D-BF7F-2E07-0765-A796DEBEB0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0</xdr:row>
      <xdr:rowOff>125730</xdr:rowOff>
    </xdr:from>
    <xdr:to>
      <xdr:col>16</xdr:col>
      <xdr:colOff>152400</xdr:colOff>
      <xdr:row>6</xdr:row>
      <xdr:rowOff>160020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9D9441D-31F7-CACC-2803-E1BF88065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0</xdr:row>
      <xdr:rowOff>133350</xdr:rowOff>
    </xdr:from>
    <xdr:to>
      <xdr:col>11</xdr:col>
      <xdr:colOff>76200</xdr:colOff>
      <xdr:row>14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D9D73A8-54BB-DDB7-BB0A-759775DEC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F51386-6617-4789-B805-2D854B52FFD4}" name="Таблица3" displayName="Таблица3" ref="A1:E13" totalsRowShown="0" headerRowDxfId="31" dataDxfId="29" headerRowBorderDxfId="30" tableBorderDxfId="28" totalsRowBorderDxfId="27">
  <autoFilter ref="A1:E13" xr:uid="{7DF51386-6617-4789-B805-2D854B52FFD4}"/>
  <tableColumns count="5">
    <tableColumn id="1" xr3:uid="{AC1F6CCA-930E-4114-8EA9-5F13402B9FB8}" name="Категорія" dataDxfId="26"/>
    <tableColumn id="2" xr3:uid="{92551895-73BB-4547-BD55-B615BF36267A}" name="Стаття витрат" dataDxfId="25"/>
    <tableColumn id="3" xr3:uid="{6128FEC4-9FFA-4373-8AFD-113558008C45}" name="Кількість" dataDxfId="24"/>
    <tableColumn id="4" xr3:uid="{E39B9EE0-F35B-4476-8B6E-F42EBF31974A}" name="Ціна за одиницю (грн)" dataDxfId="23"/>
    <tableColumn id="5" xr3:uid="{A52D3AC5-64D2-43A0-9141-DB6E9A04BD26}" name="Загальна сума (грн)" dataDxfId="22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61EC7F-BFDD-4658-8A5C-20353C8868E5}" name="Таблица2" displayName="Таблица2" ref="A1:E7" totalsRowShown="0" headerRowDxfId="21" dataDxfId="19" headerRowBorderDxfId="20" tableBorderDxfId="18" totalsRowBorderDxfId="17">
  <autoFilter ref="A1:E7" xr:uid="{5161EC7F-BFDD-4658-8A5C-20353C8868E5}"/>
  <tableColumns count="5">
    <tableColumn id="1" xr3:uid="{D8315AFA-9AD9-48C1-8326-874E0E5E26BA}" name="№" dataDxfId="16"/>
    <tableColumn id="2" xr3:uid="{5167B732-5C69-41E3-ACB7-68973034B651}" name="Послуга / продукт" dataDxfId="15"/>
    <tableColumn id="3" xr3:uid="{F911A93D-7464-4123-8F7D-6517105C051E}" name="Кількість продажів на місяць" dataDxfId="14"/>
    <tableColumn id="4" xr3:uid="{EEC710A5-6409-4E18-91B6-46DA96F33992}" name="Ціна за 1 послугу (грн)" dataDxfId="13"/>
    <tableColumn id="5" xr3:uid="{A69ACDB1-D612-434E-BDB8-1C023BD22406}" name="Дохід за місяць (грн)" dataDxfId="12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8D11D0-BBA0-4C62-B1E4-DB33F0469A71}" name="Таблица1" displayName="Таблица1" ref="A1:G5" totalsRowShown="0" headerRowDxfId="11" dataDxfId="9" headerRowBorderDxfId="10" tableBorderDxfId="8" totalsRowBorderDxfId="7">
  <autoFilter ref="A1:G5" xr:uid="{638D11D0-BBA0-4C62-B1E4-DB33F0469A71}"/>
  <tableColumns count="7">
    <tableColumn id="1" xr3:uid="{3FE6B313-8FCE-4266-9C55-EC1BEE8ED5EC}" name="Вид продукції" dataDxfId="6"/>
    <tableColumn id="2" xr3:uid="{30269613-4674-4CD0-A6A7-1C7C0666EC5D}" name="Кількість продажів (шт/міс)" dataDxfId="5"/>
    <tableColumn id="3" xr3:uid="{9E7CBD74-B7A1-4BEF-8B00-560BE999E73D}" name="Ціна за одиницю (грн)" dataDxfId="4"/>
    <tableColumn id="4" xr3:uid="{F2F8927E-CBC6-4525-A698-05AF794102EB}" name="Дохід (грн)" dataDxfId="3"/>
    <tableColumn id="5" xr3:uid="{C94B6ACA-666B-46FC-B3FA-7E9359D22775}" name="Собівартість 1 шт (грн)" dataDxfId="2"/>
    <tableColumn id="6" xr3:uid="{72A48BD0-418B-4CFB-8F78-858574FED451}" name="Загальні витрати (грн)" dataDxfId="1"/>
    <tableColumn id="7" xr3:uid="{B0701136-50CF-4E2D-96FB-E2066BA1DB86}" name="Прибуток (грн)" dataDxfId="0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00115A5-D505-4C11-98AA-5AFB7447ADA1}" name="Таблица4" displayName="Таблица4" ref="A1:C8" totalsRowShown="0" headerRowDxfId="39" dataDxfId="37" headerRowBorderDxfId="38" tableBorderDxfId="36" totalsRowBorderDxfId="35">
  <autoFilter ref="A1:C8" xr:uid="{E00115A5-D505-4C11-98AA-5AFB7447ADA1}"/>
  <tableColumns count="3">
    <tableColumn id="1" xr3:uid="{C455CDC7-7B65-4325-B47F-C96C845B93DC}" name="Кількість свічок" dataDxfId="34"/>
    <tableColumn id="2" xr3:uid="{F965DB76-08AC-4B40-B799-E126FE384C24}" name="Доходи" dataDxfId="33"/>
    <tableColumn id="3" xr3:uid="{59AC415C-8351-4A4C-ACD1-ECB996BEF8F9}" name="Витрати" dataDxfId="32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6CCC3-0AD2-465E-8ACF-3DC26EA20FD3}">
  <dimension ref="A1:E13"/>
  <sheetViews>
    <sheetView zoomScale="68" zoomScaleNormal="68" workbookViewId="0">
      <selection activeCell="D21" sqref="D21"/>
    </sheetView>
  </sheetViews>
  <sheetFormatPr defaultRowHeight="14.4" x14ac:dyDescent="0.3"/>
  <cols>
    <col min="1" max="1" width="14.6640625" customWidth="1"/>
    <col min="2" max="2" width="24.109375" customWidth="1"/>
    <col min="3" max="3" width="19.88671875" customWidth="1"/>
    <col min="4" max="4" width="28.5546875" customWidth="1"/>
    <col min="5" max="5" width="26" customWidth="1"/>
  </cols>
  <sheetData>
    <row r="1" spans="1:5" ht="17.399999999999999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9</v>
      </c>
    </row>
    <row r="2" spans="1:5" ht="29.4" customHeight="1" x14ac:dyDescent="0.3">
      <c r="A2" s="4" t="s">
        <v>4</v>
      </c>
      <c r="B2" s="5" t="s">
        <v>5</v>
      </c>
      <c r="C2" s="5">
        <v>5</v>
      </c>
      <c r="D2" s="5">
        <v>400</v>
      </c>
      <c r="E2" s="6">
        <v>2000</v>
      </c>
    </row>
    <row r="3" spans="1:5" ht="36" x14ac:dyDescent="0.3">
      <c r="A3" s="4" t="s">
        <v>4</v>
      </c>
      <c r="B3" s="5" t="s">
        <v>10</v>
      </c>
      <c r="C3" s="5">
        <v>1</v>
      </c>
      <c r="D3" s="5">
        <v>1500</v>
      </c>
      <c r="E3" s="6">
        <v>1500</v>
      </c>
    </row>
    <row r="4" spans="1:5" ht="25.8" customHeight="1" x14ac:dyDescent="0.3">
      <c r="A4" s="4" t="s">
        <v>4</v>
      </c>
      <c r="B4" s="5" t="s">
        <v>11</v>
      </c>
      <c r="C4" s="5">
        <v>1</v>
      </c>
      <c r="D4" s="5">
        <v>1200</v>
      </c>
      <c r="E4" s="6">
        <v>1200</v>
      </c>
    </row>
    <row r="5" spans="1:5" ht="36" x14ac:dyDescent="0.3">
      <c r="A5" s="4" t="s">
        <v>4</v>
      </c>
      <c r="B5" s="5" t="s">
        <v>6</v>
      </c>
      <c r="C5" s="5">
        <v>1</v>
      </c>
      <c r="D5" s="5">
        <v>3000</v>
      </c>
      <c r="E5" s="6">
        <v>3000</v>
      </c>
    </row>
    <row r="6" spans="1:5" ht="30.6" customHeight="1" x14ac:dyDescent="0.3">
      <c r="A6" s="4" t="s">
        <v>7</v>
      </c>
      <c r="B6" s="5" t="s">
        <v>12</v>
      </c>
      <c r="C6" s="5" t="s">
        <v>13</v>
      </c>
      <c r="D6" s="5">
        <v>150</v>
      </c>
      <c r="E6" s="6">
        <v>3000</v>
      </c>
    </row>
    <row r="7" spans="1:5" ht="28.8" customHeight="1" x14ac:dyDescent="0.3">
      <c r="A7" s="4" t="s">
        <v>7</v>
      </c>
      <c r="B7" s="5" t="s">
        <v>8</v>
      </c>
      <c r="C7" s="5">
        <v>10</v>
      </c>
      <c r="D7" s="5">
        <v>120</v>
      </c>
      <c r="E7" s="6">
        <v>1200</v>
      </c>
    </row>
    <row r="8" spans="1:5" ht="27.6" customHeight="1" x14ac:dyDescent="0.3">
      <c r="A8" s="4" t="s">
        <v>7</v>
      </c>
      <c r="B8" s="5" t="s">
        <v>14</v>
      </c>
      <c r="C8" s="5">
        <v>100</v>
      </c>
      <c r="D8" s="5">
        <v>5</v>
      </c>
      <c r="E8" s="6">
        <v>500</v>
      </c>
    </row>
    <row r="9" spans="1:5" ht="29.4" customHeight="1" x14ac:dyDescent="0.3">
      <c r="A9" s="4" t="s">
        <v>7</v>
      </c>
      <c r="B9" s="5" t="s">
        <v>15</v>
      </c>
      <c r="C9" s="5">
        <v>5</v>
      </c>
      <c r="D9" s="5">
        <v>80</v>
      </c>
      <c r="E9" s="6">
        <v>400</v>
      </c>
    </row>
    <row r="10" spans="1:5" ht="27.6" customHeight="1" x14ac:dyDescent="0.3">
      <c r="A10" s="4" t="s">
        <v>16</v>
      </c>
      <c r="B10" s="5" t="s">
        <v>17</v>
      </c>
      <c r="C10" s="5">
        <v>150</v>
      </c>
      <c r="D10" s="5">
        <v>15</v>
      </c>
      <c r="E10" s="6">
        <v>2250</v>
      </c>
    </row>
    <row r="11" spans="1:5" ht="24" customHeight="1" x14ac:dyDescent="0.3">
      <c r="A11" s="4" t="s">
        <v>16</v>
      </c>
      <c r="B11" s="5" t="s">
        <v>18</v>
      </c>
      <c r="C11" s="5">
        <v>150</v>
      </c>
      <c r="D11" s="5">
        <v>3</v>
      </c>
      <c r="E11" s="6">
        <v>450</v>
      </c>
    </row>
    <row r="12" spans="1:5" ht="23.4" customHeight="1" x14ac:dyDescent="0.3">
      <c r="A12" s="4" t="s">
        <v>19</v>
      </c>
      <c r="B12" s="5" t="s">
        <v>20</v>
      </c>
      <c r="C12" s="5">
        <v>1</v>
      </c>
      <c r="D12" s="5">
        <v>1000</v>
      </c>
      <c r="E12" s="6">
        <v>1000</v>
      </c>
    </row>
    <row r="13" spans="1:5" ht="29.4" customHeight="1" x14ac:dyDescent="0.3">
      <c r="A13" s="7" t="s">
        <v>19</v>
      </c>
      <c r="B13" s="8" t="s">
        <v>21</v>
      </c>
      <c r="C13" s="8">
        <v>1</v>
      </c>
      <c r="D13" s="8">
        <v>500</v>
      </c>
      <c r="E13" s="9">
        <v>500</v>
      </c>
    </row>
  </sheetData>
  <pageMargins left="0.7" right="0.7" top="0.75" bottom="0.75" header="0.3" footer="0.3"/>
  <pageSetup paperSize="9" orientation="portrait" horizontalDpi="4294967293" verticalDpi="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F1FF2-DB4F-4611-BC8E-28B1CB1A4C88}">
  <dimension ref="A1:E7"/>
  <sheetViews>
    <sheetView workbookViewId="0">
      <selection activeCell="N1" sqref="N1"/>
    </sheetView>
  </sheetViews>
  <sheetFormatPr defaultRowHeight="14.4" x14ac:dyDescent="0.3"/>
  <cols>
    <col min="2" max="2" width="19.21875" customWidth="1"/>
    <col min="3" max="3" width="28" customWidth="1"/>
    <col min="4" max="4" width="21.88671875" customWidth="1"/>
    <col min="5" max="5" width="20.77734375" customWidth="1"/>
  </cols>
  <sheetData>
    <row r="1" spans="1:5" x14ac:dyDescent="0.3">
      <c r="A1" s="10" t="s">
        <v>33</v>
      </c>
      <c r="B1" s="11" t="s">
        <v>34</v>
      </c>
      <c r="C1" s="11" t="s">
        <v>35</v>
      </c>
      <c r="D1" s="11" t="s">
        <v>36</v>
      </c>
      <c r="E1" s="12" t="s">
        <v>37</v>
      </c>
    </row>
    <row r="2" spans="1:5" ht="28.8" x14ac:dyDescent="0.3">
      <c r="A2" s="13">
        <v>1</v>
      </c>
      <c r="B2" s="14" t="s">
        <v>38</v>
      </c>
      <c r="C2" s="14">
        <v>4</v>
      </c>
      <c r="D2" s="14">
        <v>8000</v>
      </c>
      <c r="E2" s="15">
        <v>32000</v>
      </c>
    </row>
    <row r="3" spans="1:5" x14ac:dyDescent="0.3">
      <c r="A3" s="13">
        <v>2</v>
      </c>
      <c r="B3" s="14" t="s">
        <v>39</v>
      </c>
      <c r="C3" s="14">
        <v>3</v>
      </c>
      <c r="D3" s="14">
        <v>5000</v>
      </c>
      <c r="E3" s="15">
        <v>15000</v>
      </c>
    </row>
    <row r="4" spans="1:5" ht="28.8" x14ac:dyDescent="0.3">
      <c r="A4" s="13">
        <v>3</v>
      </c>
      <c r="B4" s="14" t="s">
        <v>40</v>
      </c>
      <c r="C4" s="14">
        <v>5</v>
      </c>
      <c r="D4" s="14">
        <v>3000</v>
      </c>
      <c r="E4" s="15">
        <v>15000</v>
      </c>
    </row>
    <row r="5" spans="1:5" ht="28.8" x14ac:dyDescent="0.3">
      <c r="A5" s="13">
        <v>4</v>
      </c>
      <c r="B5" s="14" t="s">
        <v>41</v>
      </c>
      <c r="C5" s="14">
        <v>6</v>
      </c>
      <c r="D5" s="14">
        <v>1200</v>
      </c>
      <c r="E5" s="15">
        <v>7200</v>
      </c>
    </row>
    <row r="6" spans="1:5" ht="28.8" x14ac:dyDescent="0.3">
      <c r="A6" s="13">
        <v>5</v>
      </c>
      <c r="B6" s="14" t="s">
        <v>42</v>
      </c>
      <c r="C6" s="14">
        <v>2</v>
      </c>
      <c r="D6" s="14">
        <v>10000</v>
      </c>
      <c r="E6" s="15">
        <v>20000</v>
      </c>
    </row>
    <row r="7" spans="1:5" ht="28.8" x14ac:dyDescent="0.3">
      <c r="A7" s="20">
        <v>6</v>
      </c>
      <c r="B7" s="18" t="s">
        <v>43</v>
      </c>
      <c r="C7" s="18">
        <v>6</v>
      </c>
      <c r="D7" s="18">
        <v>1000</v>
      </c>
      <c r="E7" s="21">
        <v>6000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8C90-2D93-4444-BB6F-1924C457397D}">
  <dimension ref="A1:G5"/>
  <sheetViews>
    <sheetView tabSelected="1" workbookViewId="0">
      <selection activeCell="E17" sqref="E17"/>
    </sheetView>
  </sheetViews>
  <sheetFormatPr defaultRowHeight="14.4" x14ac:dyDescent="0.3"/>
  <cols>
    <col min="1" max="1" width="15" customWidth="1"/>
    <col min="2" max="2" width="17.88671875" customWidth="1"/>
    <col min="3" max="3" width="16.5546875" customWidth="1"/>
    <col min="4" max="4" width="12.33203125" customWidth="1"/>
    <col min="5" max="5" width="14.44140625" customWidth="1"/>
    <col min="6" max="6" width="14.109375" customWidth="1"/>
    <col min="7" max="7" width="15.6640625" customWidth="1"/>
  </cols>
  <sheetData>
    <row r="1" spans="1:7" ht="28.8" x14ac:dyDescent="0.3">
      <c r="A1" s="10" t="s">
        <v>22</v>
      </c>
      <c r="B1" s="11" t="s">
        <v>23</v>
      </c>
      <c r="C1" s="11" t="s">
        <v>3</v>
      </c>
      <c r="D1" s="11" t="s">
        <v>24</v>
      </c>
      <c r="E1" s="11" t="s">
        <v>25</v>
      </c>
      <c r="F1" s="11" t="s">
        <v>26</v>
      </c>
      <c r="G1" s="12" t="s">
        <v>27</v>
      </c>
    </row>
    <row r="2" spans="1:7" ht="43.2" x14ac:dyDescent="0.3">
      <c r="A2" s="13" t="s">
        <v>28</v>
      </c>
      <c r="B2" s="14">
        <v>80</v>
      </c>
      <c r="C2" s="14">
        <v>200</v>
      </c>
      <c r="D2" s="14">
        <v>16000</v>
      </c>
      <c r="E2" s="14">
        <v>90</v>
      </c>
      <c r="F2" s="14">
        <v>7200</v>
      </c>
      <c r="G2" s="15">
        <v>8800</v>
      </c>
    </row>
    <row r="3" spans="1:7" ht="28.8" x14ac:dyDescent="0.3">
      <c r="A3" s="13" t="s">
        <v>29</v>
      </c>
      <c r="B3" s="14">
        <v>40</v>
      </c>
      <c r="C3" s="14">
        <v>250</v>
      </c>
      <c r="D3" s="14">
        <v>10000</v>
      </c>
      <c r="E3" s="14">
        <v>110</v>
      </c>
      <c r="F3" s="14">
        <v>4400</v>
      </c>
      <c r="G3" s="15">
        <v>5600</v>
      </c>
    </row>
    <row r="4" spans="1:7" ht="28.8" x14ac:dyDescent="0.3">
      <c r="A4" s="13" t="s">
        <v>30</v>
      </c>
      <c r="B4" s="14">
        <v>30</v>
      </c>
      <c r="C4" s="14">
        <v>300</v>
      </c>
      <c r="D4" s="14">
        <v>9000</v>
      </c>
      <c r="E4" s="14">
        <v>140</v>
      </c>
      <c r="F4" s="14">
        <v>4200</v>
      </c>
      <c r="G4" s="15">
        <v>4800</v>
      </c>
    </row>
    <row r="5" spans="1:7" x14ac:dyDescent="0.3">
      <c r="A5" s="16" t="s">
        <v>31</v>
      </c>
      <c r="B5" s="17">
        <f>SUM(B2:B4)</f>
        <v>150</v>
      </c>
      <c r="C5" s="18" t="s">
        <v>32</v>
      </c>
      <c r="D5" s="17">
        <f>SUM(D2:D4)</f>
        <v>35000</v>
      </c>
      <c r="E5" s="18" t="s">
        <v>32</v>
      </c>
      <c r="F5" s="17">
        <f>SUM(F2:F4)</f>
        <v>15800</v>
      </c>
      <c r="G5" s="19">
        <f>SUM(G2:G4)</f>
        <v>19200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937AD-A0C7-4DF3-ABB6-DB500A5E698D}">
  <dimension ref="A1:C8"/>
  <sheetViews>
    <sheetView workbookViewId="0">
      <selection activeCell="F24" sqref="F24"/>
    </sheetView>
  </sheetViews>
  <sheetFormatPr defaultRowHeight="14.4" x14ac:dyDescent="0.3"/>
  <cols>
    <col min="1" max="1" width="16.5546875" customWidth="1"/>
    <col min="2" max="2" width="11.109375" customWidth="1"/>
    <col min="3" max="3" width="12.6640625" customWidth="1"/>
  </cols>
  <sheetData>
    <row r="1" spans="1:3" x14ac:dyDescent="0.3">
      <c r="A1" s="10" t="s">
        <v>44</v>
      </c>
      <c r="B1" s="11" t="s">
        <v>45</v>
      </c>
      <c r="C1" s="12" t="s">
        <v>46</v>
      </c>
    </row>
    <row r="2" spans="1:3" x14ac:dyDescent="0.3">
      <c r="A2" s="13">
        <v>0</v>
      </c>
      <c r="B2" s="14">
        <v>0</v>
      </c>
      <c r="C2" s="15">
        <v>9000</v>
      </c>
    </row>
    <row r="3" spans="1:3" x14ac:dyDescent="0.3">
      <c r="A3" s="13">
        <v>20</v>
      </c>
      <c r="B3" s="14">
        <v>5000</v>
      </c>
      <c r="C3" s="15">
        <v>11400</v>
      </c>
    </row>
    <row r="4" spans="1:3" x14ac:dyDescent="0.3">
      <c r="A4" s="13">
        <v>40</v>
      </c>
      <c r="B4" s="14">
        <v>10000</v>
      </c>
      <c r="C4" s="15">
        <v>13800</v>
      </c>
    </row>
    <row r="5" spans="1:3" x14ac:dyDescent="0.3">
      <c r="A5" s="13">
        <v>60</v>
      </c>
      <c r="B5" s="14">
        <v>15000</v>
      </c>
      <c r="C5" s="15">
        <v>16200</v>
      </c>
    </row>
    <row r="6" spans="1:3" x14ac:dyDescent="0.3">
      <c r="A6" s="13">
        <v>70</v>
      </c>
      <c r="B6" s="14">
        <v>17500</v>
      </c>
      <c r="C6" s="15">
        <v>17400</v>
      </c>
    </row>
    <row r="7" spans="1:3" x14ac:dyDescent="0.3">
      <c r="A7" s="13">
        <v>80</v>
      </c>
      <c r="B7" s="14">
        <v>20000</v>
      </c>
      <c r="C7" s="15">
        <v>18600</v>
      </c>
    </row>
    <row r="8" spans="1:3" x14ac:dyDescent="0.3">
      <c r="A8" s="20">
        <v>100</v>
      </c>
      <c r="B8" s="18">
        <v>25000</v>
      </c>
      <c r="C8" s="21">
        <v>21000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Витрати</vt:lpstr>
      <vt:lpstr>Доходи</vt:lpstr>
      <vt:lpstr>Прибуток</vt:lpstr>
      <vt:lpstr>Точка беззбитковості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Олексиенко Богдан</dc:creator>
  <cp:lastModifiedBy>Олексиенко Богдан</cp:lastModifiedBy>
  <dcterms:created xsi:type="dcterms:W3CDTF">2026-03-30T18:22:40Z</dcterms:created>
  <dcterms:modified xsi:type="dcterms:W3CDTF">2026-04-15T18:20:06Z</dcterms:modified>
</cp:coreProperties>
</file>